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1ace244192e6b05/Desktop/RP1/"/>
    </mc:Choice>
  </mc:AlternateContent>
  <xr:revisionPtr revIDLastSave="1" documentId="8_{D27E04FA-C659-495A-8369-529608D967EA}" xr6:coauthVersionLast="47" xr6:coauthVersionMax="47" xr10:uidLastSave="{403B610C-CDCC-4CB0-9A30-6A542584A8DE}"/>
  <bookViews>
    <workbookView xWindow="-110" yWindow="-110" windowWidth="19420" windowHeight="10300" xr2:uid="{00000000-000D-0000-FFFF-FFFF00000000}"/>
  </bookViews>
  <sheets>
    <sheet name="Platform_Case_Data" sheetId="1" r:id="rId1"/>
    <sheet name="Summary_by_Platform" sheetId="2" r:id="rId2"/>
    <sheet name="NCRP_Yearly_Tre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3" i="1" l="1"/>
  <c r="L32" i="1"/>
  <c r="G7" i="3"/>
  <c r="G6" i="3"/>
  <c r="G5" i="3"/>
  <c r="G4" i="3"/>
  <c r="G3" i="3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L31" i="1"/>
  <c r="L30" i="1"/>
  <c r="L29" i="1"/>
  <c r="L28" i="1"/>
  <c r="L27" i="1"/>
  <c r="L26" i="1"/>
  <c r="L25" i="1"/>
  <c r="L24" i="1"/>
  <c r="L23" i="1"/>
  <c r="E9" i="2" s="1"/>
  <c r="L22" i="1"/>
  <c r="L21" i="1"/>
  <c r="L20" i="1"/>
  <c r="L19" i="1"/>
  <c r="E8" i="2" s="1"/>
  <c r="L18" i="1"/>
  <c r="L17" i="1"/>
  <c r="E7" i="2" s="1"/>
  <c r="L16" i="1"/>
  <c r="L15" i="1"/>
  <c r="L14" i="1"/>
  <c r="E6" i="2" s="1"/>
  <c r="L13" i="1"/>
  <c r="L12" i="1"/>
  <c r="L11" i="1"/>
  <c r="E5" i="2" s="1"/>
  <c r="L10" i="1"/>
  <c r="L9" i="1"/>
  <c r="L8" i="1"/>
  <c r="E4" i="2" s="1"/>
  <c r="L7" i="1"/>
  <c r="L6" i="1"/>
  <c r="L5" i="1"/>
  <c r="E3" i="2" s="1"/>
  <c r="L4" i="1"/>
  <c r="L3" i="1"/>
  <c r="L2" i="1"/>
  <c r="E2" i="2" s="1"/>
</calcChain>
</file>

<file path=xl/sharedStrings.xml><?xml version="1.0" encoding="utf-8"?>
<sst xmlns="http://schemas.openxmlformats.org/spreadsheetml/2006/main" count="451" uniqueCount="206">
  <si>
    <t>case_id</t>
  </si>
  <si>
    <t>year</t>
  </si>
  <si>
    <t>state</t>
  </si>
  <si>
    <t>platform</t>
  </si>
  <si>
    <t>platform_type</t>
  </si>
  <si>
    <t>crime_category</t>
  </si>
  <si>
    <t>laws_invoked</t>
  </si>
  <si>
    <t>victim_gender</t>
  </si>
  <si>
    <t>cases_reported</t>
  </si>
  <si>
    <t>cases_chargesheeted</t>
  </si>
  <si>
    <t>cases_convicted</t>
  </si>
  <si>
    <t>conviction_rate_pct</t>
  </si>
  <si>
    <t>convicted_yn</t>
  </si>
  <si>
    <t>case_status</t>
  </si>
  <si>
    <t>data_source</t>
  </si>
  <si>
    <t>source_url</t>
  </si>
  <si>
    <t>P-01</t>
  </si>
  <si>
    <t>2024</t>
  </si>
  <si>
    <t>Pan-India</t>
  </si>
  <si>
    <t>WhatsApp</t>
  </si>
  <si>
    <t>Messaging App</t>
  </si>
  <si>
    <t>Cyberstalking &amp; Harassment</t>
  </si>
  <si>
    <t>IT Act 67, IPC 354D (BNS 79)</t>
  </si>
  <si>
    <t>Female</t>
  </si>
  <si>
    <t>Yes</t>
  </si>
  <si>
    <t>Closed</t>
  </si>
  <si>
    <t>MHA Annual Report 2023-24</t>
  </si>
  <si>
    <t>P-02</t>
  </si>
  <si>
    <t>Sextortion &amp; Blackmail</t>
  </si>
  <si>
    <t>IT Act 66C, 66D, 67A</t>
  </si>
  <si>
    <t>NCRP Annual Data 2024</t>
  </si>
  <si>
    <t>https://cybercrime.gov.in</t>
  </si>
  <si>
    <t>P-03</t>
  </si>
  <si>
    <t>2025</t>
  </si>
  <si>
    <t>Impersonation &amp; Fake Profiles</t>
  </si>
  <si>
    <t>IT Act 66C, 66D (BNS 318)</t>
  </si>
  <si>
    <t>MHA Rajya Sabha Response 2025</t>
  </si>
  <si>
    <t>P-04</t>
  </si>
  <si>
    <t>Telegram</t>
  </si>
  <si>
    <t>Revenge Porn / NCII Distribution</t>
  </si>
  <si>
    <t>IT Act 67A, IPC 354C (BNS 77)</t>
  </si>
  <si>
    <t>P-05</t>
  </si>
  <si>
    <t>Deepfake Pornography</t>
  </si>
  <si>
    <t>IT Act 67, 67A, 66E (BNS 303)</t>
  </si>
  <si>
    <t>NCRP / I4C Report 2024</t>
  </si>
  <si>
    <t>P-06</t>
  </si>
  <si>
    <t>Child Sexual Abuse Material (CSAM)</t>
  </si>
  <si>
    <t>IT Act 67B, POCSO Act Sec 13-15</t>
  </si>
  <si>
    <t>NCRP Rajya Sabha Data 2025</t>
  </si>
  <si>
    <t>P-07</t>
  </si>
  <si>
    <t>Maharashtra</t>
  </si>
  <si>
    <t>Instagram</t>
  </si>
  <si>
    <t>Social Media</t>
  </si>
  <si>
    <t>Fake Profile &amp; Morphed Images</t>
  </si>
  <si>
    <t>IT Act 66C, 66D, 67</t>
  </si>
  <si>
    <t>P-08</t>
  </si>
  <si>
    <t>Uttar Pradesh</t>
  </si>
  <si>
    <t>Cyberbullying &amp; Online Threats</t>
  </si>
  <si>
    <t>IPC 509 (BNS 352), IT Act 66</t>
  </si>
  <si>
    <t>NCRB Crime in India 2023</t>
  </si>
  <si>
    <t>P-09</t>
  </si>
  <si>
    <t>Delhi</t>
  </si>
  <si>
    <t>Deepfake Abuse (AI-generated)</t>
  </si>
  <si>
    <t>IT Act 66E, 67A, BNS 303</t>
  </si>
  <si>
    <t>In Progress</t>
  </si>
  <si>
    <t>CERT-In Advisory Nov 2024</t>
  </si>
  <si>
    <t>P-10</t>
  </si>
  <si>
    <t>Karnataka</t>
  </si>
  <si>
    <t>Facebook</t>
  </si>
  <si>
    <t>Doxxing &amp; Privacy Violation</t>
  </si>
  <si>
    <t>IT Act 66E, IPC 509 (BNS 352)</t>
  </si>
  <si>
    <t>P-11</t>
  </si>
  <si>
    <t>Tamil Nadu</t>
  </si>
  <si>
    <t>Online Grooming (Minor Victim)</t>
  </si>
  <si>
    <t>POCSO Act, IT Act 67B</t>
  </si>
  <si>
    <t>P-12</t>
  </si>
  <si>
    <t>Investment / Pig Butchering Scam</t>
  </si>
  <si>
    <t>IT Act 66, 66D (BNS 318), IPC 420</t>
  </si>
  <si>
    <t>P-13</t>
  </si>
  <si>
    <t>X (Twitter)</t>
  </si>
  <si>
    <t>Coordinated Trolling &amp; Doxing</t>
  </si>
  <si>
    <t>IT Act 66, 66E, IPC 499 (BNS 356)</t>
  </si>
  <si>
    <t>CJP Digital Justice Report 2025</t>
  </si>
  <si>
    <t>P-14</t>
  </si>
  <si>
    <t>Non-Consensual Intimate Imagery</t>
  </si>
  <si>
    <t>IT Act 66E, 67A (BNS 303)</t>
  </si>
  <si>
    <t>NCRP Data 2025</t>
  </si>
  <si>
    <t>P-15</t>
  </si>
  <si>
    <t>YouTube</t>
  </si>
  <si>
    <t>Video Platform</t>
  </si>
  <si>
    <t>Morphed Video Upload</t>
  </si>
  <si>
    <t>IT Act 67, 67A, 66E</t>
  </si>
  <si>
    <t>P-16</t>
  </si>
  <si>
    <t>Bumble / Tinder</t>
  </si>
  <si>
    <t>Dating App</t>
  </si>
  <si>
    <t>Sextortion via Dating Apps</t>
  </si>
  <si>
    <t>IT Act 66C, 67A, IPC 384 (BNS 308)</t>
  </si>
  <si>
    <t>I4C National Cybercrime Report 2024</t>
  </si>
  <si>
    <t>P-17</t>
  </si>
  <si>
    <t>Fake Identity &amp; Blackmail</t>
  </si>
  <si>
    <t>IT Act 66C, 66D (BNS 318), IPC 420</t>
  </si>
  <si>
    <t>NCRP Annual Data 2025</t>
  </si>
  <si>
    <t>P-18</t>
  </si>
  <si>
    <t>AI Tools (Undisclosed)</t>
  </si>
  <si>
    <t>AI Platform</t>
  </si>
  <si>
    <t>AI Deepfake Sextortion</t>
  </si>
  <si>
    <t>CERT-In Advisory Nov 2024 / BBC Report</t>
  </si>
  <si>
    <t>P-19</t>
  </si>
  <si>
    <t>AI Voice Cloning Fraud</t>
  </si>
  <si>
    <t>No</t>
  </si>
  <si>
    <t>P-20</t>
  </si>
  <si>
    <t>ShareChat / Moj</t>
  </si>
  <si>
    <t>Regional Social Media</t>
  </si>
  <si>
    <t>Obscene Content Sharing</t>
  </si>
  <si>
    <t>IT Act 67, 67A</t>
  </si>
  <si>
    <t>P-21</t>
  </si>
  <si>
    <t>OLX / Quikr</t>
  </si>
  <si>
    <t>E-Commerce</t>
  </si>
  <si>
    <t>Fake Buyer Scam &amp; Harassment</t>
  </si>
  <si>
    <t>IPC 420 (BNS 318), IT Act 66</t>
  </si>
  <si>
    <t>MHA 1930 Helpline Report 2024</t>
  </si>
  <si>
    <t>P-22</t>
  </si>
  <si>
    <t>Multiple Platforms</t>
  </si>
  <si>
    <t>Cross-Platform</t>
  </si>
  <si>
    <t>Obscene Content (Reported to NCRP)</t>
  </si>
  <si>
    <t>IT Act 67, 67A, POCSO</t>
  </si>
  <si>
    <t>NCRP Rajya Sabha 2025</t>
  </si>
  <si>
    <t>P-23</t>
  </si>
  <si>
    <t>Sexually Explicit Acts (Reported to NCRP)</t>
  </si>
  <si>
    <t>IT Act 67A, BNS 303</t>
  </si>
  <si>
    <t>P-24</t>
  </si>
  <si>
    <t>Rape-Related Abusive Content</t>
  </si>
  <si>
    <t>IT Act 67, 67A, BNS 64</t>
  </si>
  <si>
    <t>P-25</t>
  </si>
  <si>
    <t>UPI Fraud Targeting Women</t>
  </si>
  <si>
    <t>IT Act 66, 66D, IPC 420 (BNS 318)</t>
  </si>
  <si>
    <t>TOI Mumbai Cybercrime Report Jan 2025</t>
  </si>
  <si>
    <t>P-26</t>
  </si>
  <si>
    <t>Telangana</t>
  </si>
  <si>
    <t>Cyberstalking (Minor Victims)</t>
  </si>
  <si>
    <t>POCSO Act, IT Act 67, IPC 354D</t>
  </si>
  <si>
    <t>P-27</t>
  </si>
  <si>
    <t>Kerala</t>
  </si>
  <si>
    <t>Online Harassment (CyberDome Cases)</t>
  </si>
  <si>
    <t>IT Act 66, 67, IPC 354D (BNS 79)</t>
  </si>
  <si>
    <t>Kerala CyberDome Annual Report</t>
  </si>
  <si>
    <t>P-28</t>
  </si>
  <si>
    <t>Rajasthan</t>
  </si>
  <si>
    <t>Fake Matrimonial Profile Fraud</t>
  </si>
  <si>
    <t>IT Act 66C, 66D, IPC 420 (BNS 318)</t>
  </si>
  <si>
    <t>P-29</t>
  </si>
  <si>
    <t>Non-Consensual Image Sharing (NCII)</t>
  </si>
  <si>
    <t>NCRP Data 2025 / IT Rules 2021</t>
  </si>
  <si>
    <t>P-30</t>
  </si>
  <si>
    <t>Jharkhand</t>
  </si>
  <si>
    <t>Loan App Harassment &amp; Extortion</t>
  </si>
  <si>
    <t>IT Act 66, 66D, IPC 384 (BNS 308)</t>
  </si>
  <si>
    <t>I4C Loan App Report 2024</t>
  </si>
  <si>
    <t>total_cases_reported</t>
  </si>
  <si>
    <t>total_convicted</t>
  </si>
  <si>
    <t>avg_conviction_rate_pct</t>
  </si>
  <si>
    <t>dominant_crime</t>
  </si>
  <si>
    <t>source</t>
  </si>
  <si>
    <t>Cyberstalking, Sextortion, Impersonation</t>
  </si>
  <si>
    <t>Revenge Porn, Deepfake, CSAM</t>
  </si>
  <si>
    <t>Fake Profiles, Morphed Images, Deepfake</t>
  </si>
  <si>
    <t>Doxxing, Grooming, Investment Scam</t>
  </si>
  <si>
    <t>NCRB / NCRP</t>
  </si>
  <si>
    <t>Doxing, NCII</t>
  </si>
  <si>
    <t>Sextortion, Fake Identity</t>
  </si>
  <si>
    <t>Deepfake Sextortion, Voice Cloning</t>
  </si>
  <si>
    <t>CERT-In Advisory 2024 / BBC</t>
  </si>
  <si>
    <t>Obscene Content, Explicit Acts, Rape Content</t>
  </si>
  <si>
    <t>total_complaints_women</t>
  </si>
  <si>
    <t>obscene_content</t>
  </si>
  <si>
    <t>sexually_explicit_acts</t>
  </si>
  <si>
    <t>rape_related_content</t>
  </si>
  <si>
    <t>csam</t>
  </si>
  <si>
    <t>yoy_growth_pct</t>
  </si>
  <si>
    <t>NCRP / CPPR Report</t>
  </si>
  <si>
    <t>NCRP Annual Data</t>
  </si>
  <si>
    <t>NCRP / MHA Rajya Sabha 2025</t>
  </si>
  <si>
    <t>NCRP Rajya Sabha Statement 2025</t>
  </si>
  <si>
    <t>P-31</t>
  </si>
  <si>
    <t>Snapchat</t>
  </si>
  <si>
    <t xml:space="preserve">NCRP Annual Data </t>
  </si>
  <si>
    <t>P-32</t>
  </si>
  <si>
    <t>LinkedIn</t>
  </si>
  <si>
    <t>Professional Network</t>
  </si>
  <si>
    <t>IT Act 66C, 66D, IPC 509 (BNS 352)</t>
  </si>
  <si>
    <t xml:space="preserve">https://cybercrime.gov.in </t>
  </si>
  <si>
    <t xml:space="preserve">https://tpmap.org/submission/index.php/tpm/article/download/3715/2762/8404 </t>
  </si>
  <si>
    <t xml:space="preserve">https://www.cppr.in/articles/deepfakes-doxxing-and-digital-abuse </t>
  </si>
  <si>
    <t xml:space="preserve">https://ncrb.gov.in/sites/default/files/CII-2024-Snapshot.pdf </t>
  </si>
  <si>
    <t xml:space="preserve">https://timesofindia.indiatimes.com/city/mumbai/investment-scams-up-14-times-cybercrimes-spike-22-in-2024/articleshow/117700353.cms </t>
  </si>
  <si>
    <t xml:space="preserve">https://the420.in/india-cybercrime-against-women-ncrp-2025-online-harassment-surge/ </t>
  </si>
  <si>
    <t xml:space="preserve">https://www.scconline.com/blog/post/2026/01/24/real-life-cybercrimes-india-cases-remedies-prevention/ </t>
  </si>
  <si>
    <t xml:space="preserve">https://www.i4c.mha.gov.in/ncrb-reports </t>
  </si>
  <si>
    <t xml:space="preserve">https://www.bbc.com/news/articles/cn0znk47x9eo </t>
  </si>
  <si>
    <t xml:space="preserve">https://cjp.org.in/cybercrime-and-the-crisis-of-digital-justice-indias-invisible-victims-online/ </t>
  </si>
  <si>
    <t xml:space="preserve">https://www.mha.gov.in/MHA1/Par2017/pdfs/par2025-pdfs/LS04022025/410.pdf </t>
  </si>
  <si>
    <t xml:space="preserve">https://www.pib.gov.in/PressReleasePage.aspx?PRID=2154268 </t>
  </si>
  <si>
    <t xml:space="preserve">https://timesofindia.indiatimes.com/city/noida/man-creates-fake-insta-profile-shares-photos-of-woman-from-noida-fir-filed/articleshow/123174104.cms </t>
  </si>
  <si>
    <t xml:space="preserve">https://www.business-standard.com/technology/tech-news/whatsapp-telegram-instagram-top-list-of-fraud-platforms-125010100633_1.html </t>
  </si>
  <si>
    <t xml:space="preserve">https://the420.in/cybercrime-against-women-india-rise-28000-cases/ </t>
  </si>
  <si>
    <t xml:space="preserve">https://www.mha.gov.in/MHA1/Par2017/pdfs/par2024-pdfs/LS06082024/2504.pdf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</si>
</sst>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B0D1E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1" fillId="4" borderId="0" xfId="0" applyFont="1" applyFill="1" applyAlignment="1">
      <alignment horizontal="center" wrapText="1"/>
    </xf>
    <xf numFmtId="0" fontId="2" fillId="5" borderId="0" xfId="0" applyFont="1" applyFill="1"/>
    <xf numFmtId="0" fontId="2" fillId="0" borderId="0" xfId="0" applyFont="1"/>
    <xf numFmtId="0" fontId="1" fillId="6" borderId="0" xfId="0" applyFont="1" applyFill="1" applyAlignment="1">
      <alignment horizontal="center" wrapText="1"/>
    </xf>
    <xf numFmtId="0" fontId="2" fillId="7" borderId="0" xfId="0" applyFont="1" applyFill="1"/>
    <xf numFmtId="0" fontId="3" fillId="0" borderId="0" xfId="1"/>
    <xf numFmtId="0" fontId="3" fillId="0" borderId="0" xfId="1" applyAlignment="1">
      <alignment wrapText="1"/>
    </xf>
    <xf numFmtId="0" fontId="3" fillId="3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420.in/india-cybercrime-against-women-ncrp-2025-online-harassment-surge/" TargetMode="External"/><Relationship Id="rId13" Type="http://schemas.openxmlformats.org/officeDocument/2006/relationships/hyperlink" Target="https://www.i4c.mha.gov.in/ncrb-reports" TargetMode="External"/><Relationship Id="rId18" Type="http://schemas.openxmlformats.org/officeDocument/2006/relationships/hyperlink" Target="https://the420.in/india-cybercrime-against-women-ncrp-2025-online-harassment-surge/" TargetMode="External"/><Relationship Id="rId26" Type="http://schemas.openxmlformats.org/officeDocument/2006/relationships/hyperlink" Target="https://the420.in/india-cybercrime-against-women-ncrp-2025-online-harassment-surge/" TargetMode="External"/><Relationship Id="rId3" Type="http://schemas.openxmlformats.org/officeDocument/2006/relationships/hyperlink" Target="https://www.cppr.in/articles/deepfakes-doxxing-and-digital-abuse" TargetMode="External"/><Relationship Id="rId21" Type="http://schemas.openxmlformats.org/officeDocument/2006/relationships/hyperlink" Target="https://cybercrime.gov.in/" TargetMode="External"/><Relationship Id="rId7" Type="http://schemas.openxmlformats.org/officeDocument/2006/relationships/hyperlink" Target="https://timesofindia.indiatimes.com/city/mumbai/investment-scams-up-14-times-cybercrimes-spike-22-in-2024/articleshow/117700353.cms" TargetMode="External"/><Relationship Id="rId12" Type="http://schemas.openxmlformats.org/officeDocument/2006/relationships/hyperlink" Target="https://cybercrime.gov.in/" TargetMode="External"/><Relationship Id="rId17" Type="http://schemas.openxmlformats.org/officeDocument/2006/relationships/hyperlink" Target="https://ncrb.gov.in/sites/default/files/CII-2024-Snapshot.pdf" TargetMode="External"/><Relationship Id="rId25" Type="http://schemas.openxmlformats.org/officeDocument/2006/relationships/hyperlink" Target="https://timesofindia.indiatimes.com/city/noida/man-creates-fake-insta-profile-shares-photos-of-woman-from-noida-fir-filed/articleshow/123174104.cms" TargetMode="External"/><Relationship Id="rId2" Type="http://schemas.openxmlformats.org/officeDocument/2006/relationships/hyperlink" Target="https://tpmap.org/submission/index.php/tpm/article/download/3715/2762/8404" TargetMode="External"/><Relationship Id="rId16" Type="http://schemas.openxmlformats.org/officeDocument/2006/relationships/hyperlink" Target="https://www.i4c.mha.gov.in/ncrb-reports" TargetMode="External"/><Relationship Id="rId20" Type="http://schemas.openxmlformats.org/officeDocument/2006/relationships/hyperlink" Target="https://www.mha.gov.in/MHA1/Par2017/pdfs/par2025-pdfs/LS04022025/410.pdf" TargetMode="External"/><Relationship Id="rId29" Type="http://schemas.openxmlformats.org/officeDocument/2006/relationships/hyperlink" Target="https://the420.in/cybercrime-against-women-india-rise-28000-cases/" TargetMode="External"/><Relationship Id="rId1" Type="http://schemas.openxmlformats.org/officeDocument/2006/relationships/hyperlink" Target="https://cybercrime.gov.in/" TargetMode="External"/><Relationship Id="rId6" Type="http://schemas.openxmlformats.org/officeDocument/2006/relationships/hyperlink" Target="https://ncrb.gov.in/sites/default/files/CII-2024-Snapshot.pdf" TargetMode="External"/><Relationship Id="rId11" Type="http://schemas.openxmlformats.org/officeDocument/2006/relationships/hyperlink" Target="https://www.scconline.com/blog/post/2026/01/24/real-life-cybercrimes-india-cases-remedies-prevention/" TargetMode="External"/><Relationship Id="rId24" Type="http://schemas.openxmlformats.org/officeDocument/2006/relationships/hyperlink" Target="https://ncrb.gov.in/sites/default/files/CII-2024-Snapshot.pdf" TargetMode="External"/><Relationship Id="rId32" Type="http://schemas.openxmlformats.org/officeDocument/2006/relationships/hyperlink" Target="https://cybercrime.gov.in/" TargetMode="External"/><Relationship Id="rId5" Type="http://schemas.openxmlformats.org/officeDocument/2006/relationships/hyperlink" Target="https://www.cppr.in/articles/deepfakes-doxxing-and-digital-abuse" TargetMode="External"/><Relationship Id="rId15" Type="http://schemas.openxmlformats.org/officeDocument/2006/relationships/hyperlink" Target="https://cybercrime.gov.in/" TargetMode="External"/><Relationship Id="rId23" Type="http://schemas.openxmlformats.org/officeDocument/2006/relationships/hyperlink" Target="https://www.pib.gov.in/PressReleasePage.aspx?PRID=2154268" TargetMode="External"/><Relationship Id="rId28" Type="http://schemas.openxmlformats.org/officeDocument/2006/relationships/hyperlink" Target="https://www.business-standard.com/technology/tech-news/whatsapp-telegram-instagram-top-list-of-fraud-platforms-125010100633_1.html" TargetMode="External"/><Relationship Id="rId10" Type="http://schemas.openxmlformats.org/officeDocument/2006/relationships/hyperlink" Target="https://the420.in/india-cybercrime-against-women-ncrp-2025-online-harassment-surge/" TargetMode="External"/><Relationship Id="rId19" Type="http://schemas.openxmlformats.org/officeDocument/2006/relationships/hyperlink" Target="https://cjp.org.in/cybercrime-and-the-crisis-of-digital-justice-indias-invisible-victims-online/" TargetMode="External"/><Relationship Id="rId31" Type="http://schemas.openxmlformats.org/officeDocument/2006/relationships/hyperlink" Target="https://www.mha.gov.in/MHA1/Par2017/pdfs/par2024-pdfs/LS06082024/2504.pdf" TargetMode="External"/><Relationship Id="rId4" Type="http://schemas.openxmlformats.org/officeDocument/2006/relationships/hyperlink" Target="https://ncrb.gov.in/sites/default/files/CII-2024-Snapshot.pdf" TargetMode="External"/><Relationship Id="rId9" Type="http://schemas.openxmlformats.org/officeDocument/2006/relationships/hyperlink" Target="https://the420.in/india-cybercrime-against-women-ncrp-2025-online-harassment-surge/" TargetMode="External"/><Relationship Id="rId14" Type="http://schemas.openxmlformats.org/officeDocument/2006/relationships/hyperlink" Target="https://www.bbc.com/news/articles/cn0znk47x9eo" TargetMode="External"/><Relationship Id="rId22" Type="http://schemas.openxmlformats.org/officeDocument/2006/relationships/hyperlink" Target="https://ncrb.gov.in/sites/default/files/CII-2024-Snapshot.pdf" TargetMode="External"/><Relationship Id="rId27" Type="http://schemas.openxmlformats.org/officeDocument/2006/relationships/hyperlink" Target="https://www.cppr.in/articles/deepfakes-doxxing-and-digital-abuse" TargetMode="External"/><Relationship Id="rId30" Type="http://schemas.openxmlformats.org/officeDocument/2006/relationships/hyperlink" Target="https://cybercrime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workbookViewId="0">
      <pane ySplit="1" topLeftCell="A29" activePane="bottomLeft" state="frozen"/>
      <selection pane="bottomLeft" activeCell="A34" sqref="A34:Q34"/>
    </sheetView>
  </sheetViews>
  <sheetFormatPr defaultRowHeight="14.5" x14ac:dyDescent="0.35"/>
  <cols>
    <col min="1" max="1" width="8" customWidth="1"/>
    <col min="2" max="2" width="6" customWidth="1"/>
    <col min="3" max="3" width="16" customWidth="1"/>
    <col min="4" max="5" width="18" customWidth="1"/>
    <col min="6" max="7" width="28" customWidth="1"/>
    <col min="8" max="8" width="12" customWidth="1"/>
    <col min="9" max="9" width="14" customWidth="1"/>
    <col min="10" max="10" width="16" customWidth="1"/>
    <col min="11" max="11" width="14" customWidth="1"/>
    <col min="12" max="12" width="16" customWidth="1"/>
    <col min="13" max="13" width="12" customWidth="1"/>
    <col min="14" max="14" width="14" customWidth="1"/>
    <col min="15" max="15" width="28" customWidth="1"/>
    <col min="16" max="16" width="50" customWidth="1"/>
  </cols>
  <sheetData>
    <row r="1" spans="1:16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9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43797</v>
      </c>
      <c r="J2" s="2">
        <v>8200</v>
      </c>
      <c r="K2" s="2">
        <v>1840</v>
      </c>
      <c r="L2" s="3">
        <f t="shared" ref="L2:L34" si="0">K2/I2*100</f>
        <v>4.2012009955019742</v>
      </c>
      <c r="M2" s="2" t="s">
        <v>24</v>
      </c>
      <c r="N2" s="2" t="s">
        <v>25</v>
      </c>
      <c r="O2" s="2" t="s">
        <v>26</v>
      </c>
      <c r="P2" s="13" t="s">
        <v>205</v>
      </c>
    </row>
    <row r="3" spans="1:16" x14ac:dyDescent="0.35">
      <c r="A3" s="4" t="s">
        <v>27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28</v>
      </c>
      <c r="G3" s="4" t="s">
        <v>29</v>
      </c>
      <c r="H3" s="4" t="s">
        <v>23</v>
      </c>
      <c r="I3" s="4">
        <v>12400</v>
      </c>
      <c r="J3" s="4">
        <v>2100</v>
      </c>
      <c r="K3" s="4">
        <v>390</v>
      </c>
      <c r="L3" s="5">
        <f t="shared" si="0"/>
        <v>3.1451612903225805</v>
      </c>
      <c r="M3" s="4" t="s">
        <v>24</v>
      </c>
      <c r="N3" s="4" t="s">
        <v>25</v>
      </c>
      <c r="O3" s="4" t="s">
        <v>30</v>
      </c>
      <c r="P3" s="12" t="s">
        <v>190</v>
      </c>
    </row>
    <row r="4" spans="1:16" ht="29" x14ac:dyDescent="0.35">
      <c r="A4" s="2" t="s">
        <v>32</v>
      </c>
      <c r="B4" s="2" t="s">
        <v>33</v>
      </c>
      <c r="C4" s="2" t="s">
        <v>18</v>
      </c>
      <c r="D4" s="2" t="s">
        <v>19</v>
      </c>
      <c r="E4" s="2" t="s">
        <v>20</v>
      </c>
      <c r="F4" s="2" t="s">
        <v>34</v>
      </c>
      <c r="G4" s="2" t="s">
        <v>35</v>
      </c>
      <c r="H4" s="2" t="s">
        <v>23</v>
      </c>
      <c r="I4" s="2">
        <v>18600</v>
      </c>
      <c r="J4" s="2">
        <v>3100</v>
      </c>
      <c r="K4" s="2">
        <v>520</v>
      </c>
      <c r="L4" s="3">
        <f t="shared" si="0"/>
        <v>2.795698924731183</v>
      </c>
      <c r="M4" s="2" t="s">
        <v>24</v>
      </c>
      <c r="N4" s="2" t="s">
        <v>25</v>
      </c>
      <c r="O4" s="2" t="s">
        <v>36</v>
      </c>
      <c r="P4" s="13" t="s">
        <v>204</v>
      </c>
    </row>
    <row r="5" spans="1:16" ht="43.5" x14ac:dyDescent="0.35">
      <c r="A5" s="4" t="s">
        <v>37</v>
      </c>
      <c r="B5" s="4" t="s">
        <v>17</v>
      </c>
      <c r="C5" s="4" t="s">
        <v>18</v>
      </c>
      <c r="D5" s="4" t="s">
        <v>38</v>
      </c>
      <c r="E5" s="4" t="s">
        <v>20</v>
      </c>
      <c r="F5" s="4" t="s">
        <v>39</v>
      </c>
      <c r="G5" s="4" t="s">
        <v>40</v>
      </c>
      <c r="H5" s="4" t="s">
        <v>23</v>
      </c>
      <c r="I5" s="4">
        <v>22680</v>
      </c>
      <c r="J5" s="4">
        <v>3800</v>
      </c>
      <c r="K5" s="4">
        <v>510</v>
      </c>
      <c r="L5" s="5">
        <f t="shared" si="0"/>
        <v>2.2486772486772484</v>
      </c>
      <c r="M5" s="4" t="s">
        <v>24</v>
      </c>
      <c r="N5" s="4" t="s">
        <v>25</v>
      </c>
      <c r="O5" s="4" t="s">
        <v>26</v>
      </c>
      <c r="P5" s="12" t="s">
        <v>203</v>
      </c>
    </row>
    <row r="6" spans="1:16" ht="29" x14ac:dyDescent="0.35">
      <c r="A6" s="2" t="s">
        <v>41</v>
      </c>
      <c r="B6" s="2" t="s">
        <v>17</v>
      </c>
      <c r="C6" s="2" t="s">
        <v>18</v>
      </c>
      <c r="D6" s="2" t="s">
        <v>38</v>
      </c>
      <c r="E6" s="2" t="s">
        <v>20</v>
      </c>
      <c r="F6" s="2" t="s">
        <v>42</v>
      </c>
      <c r="G6" s="2" t="s">
        <v>43</v>
      </c>
      <c r="H6" s="2" t="s">
        <v>23</v>
      </c>
      <c r="I6" s="2">
        <v>8900</v>
      </c>
      <c r="J6" s="2">
        <v>980</v>
      </c>
      <c r="K6" s="2">
        <v>88</v>
      </c>
      <c r="L6" s="3">
        <f t="shared" si="0"/>
        <v>0.9887640449438202</v>
      </c>
      <c r="M6" s="2" t="s">
        <v>24</v>
      </c>
      <c r="N6" s="2" t="s">
        <v>25</v>
      </c>
      <c r="O6" s="2" t="s">
        <v>44</v>
      </c>
      <c r="P6" s="13" t="s">
        <v>192</v>
      </c>
    </row>
    <row r="7" spans="1:16" ht="29" x14ac:dyDescent="0.35">
      <c r="A7" s="4" t="s">
        <v>45</v>
      </c>
      <c r="B7" s="4" t="s">
        <v>33</v>
      </c>
      <c r="C7" s="4" t="s">
        <v>18</v>
      </c>
      <c r="D7" s="4" t="s">
        <v>38</v>
      </c>
      <c r="E7" s="4" t="s">
        <v>20</v>
      </c>
      <c r="F7" s="4" t="s">
        <v>46</v>
      </c>
      <c r="G7" s="4" t="s">
        <v>47</v>
      </c>
      <c r="H7" s="4" t="s">
        <v>23</v>
      </c>
      <c r="I7" s="4">
        <v>10431</v>
      </c>
      <c r="J7" s="4">
        <v>1820</v>
      </c>
      <c r="K7" s="4">
        <v>290</v>
      </c>
      <c r="L7" s="5">
        <f t="shared" si="0"/>
        <v>2.7801744799156363</v>
      </c>
      <c r="M7" s="4" t="s">
        <v>24</v>
      </c>
      <c r="N7" s="4" t="s">
        <v>25</v>
      </c>
      <c r="O7" s="4" t="s">
        <v>48</v>
      </c>
      <c r="P7" s="12" t="s">
        <v>195</v>
      </c>
    </row>
    <row r="8" spans="1:16" ht="43.5" x14ac:dyDescent="0.35">
      <c r="A8" s="2" t="s">
        <v>49</v>
      </c>
      <c r="B8" s="2" t="s">
        <v>17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23</v>
      </c>
      <c r="I8" s="2">
        <v>19800</v>
      </c>
      <c r="J8" s="2">
        <v>3200</v>
      </c>
      <c r="K8" s="2">
        <v>480</v>
      </c>
      <c r="L8" s="3">
        <f t="shared" si="0"/>
        <v>2.4242424242424243</v>
      </c>
      <c r="M8" s="2" t="s">
        <v>24</v>
      </c>
      <c r="N8" s="2" t="s">
        <v>25</v>
      </c>
      <c r="O8" s="2" t="s">
        <v>26</v>
      </c>
      <c r="P8" s="13" t="s">
        <v>202</v>
      </c>
    </row>
    <row r="9" spans="1:16" ht="29" x14ac:dyDescent="0.35">
      <c r="A9" s="4" t="s">
        <v>55</v>
      </c>
      <c r="B9" s="4" t="s">
        <v>17</v>
      </c>
      <c r="C9" s="4" t="s">
        <v>56</v>
      </c>
      <c r="D9" s="4" t="s">
        <v>51</v>
      </c>
      <c r="E9" s="4" t="s">
        <v>52</v>
      </c>
      <c r="F9" s="4" t="s">
        <v>57</v>
      </c>
      <c r="G9" s="4" t="s">
        <v>58</v>
      </c>
      <c r="H9" s="4" t="s">
        <v>23</v>
      </c>
      <c r="I9" s="4">
        <v>7400</v>
      </c>
      <c r="J9" s="4">
        <v>890</v>
      </c>
      <c r="K9" s="4">
        <v>112</v>
      </c>
      <c r="L9" s="5">
        <f t="shared" si="0"/>
        <v>1.5135135135135136</v>
      </c>
      <c r="M9" s="4" t="s">
        <v>24</v>
      </c>
      <c r="N9" s="4" t="s">
        <v>25</v>
      </c>
      <c r="O9" s="4" t="s">
        <v>59</v>
      </c>
      <c r="P9" s="12" t="s">
        <v>193</v>
      </c>
    </row>
    <row r="10" spans="1:16" ht="29" x14ac:dyDescent="0.35">
      <c r="A10" s="2" t="s">
        <v>60</v>
      </c>
      <c r="B10" s="2" t="s">
        <v>33</v>
      </c>
      <c r="C10" s="2" t="s">
        <v>61</v>
      </c>
      <c r="D10" s="2" t="s">
        <v>51</v>
      </c>
      <c r="E10" s="2" t="s">
        <v>52</v>
      </c>
      <c r="F10" s="2" t="s">
        <v>62</v>
      </c>
      <c r="G10" s="2" t="s">
        <v>63</v>
      </c>
      <c r="H10" s="2" t="s">
        <v>23</v>
      </c>
      <c r="I10" s="2">
        <v>9200</v>
      </c>
      <c r="J10" s="2">
        <v>1100</v>
      </c>
      <c r="K10" s="2">
        <v>143</v>
      </c>
      <c r="L10" s="3">
        <f t="shared" si="0"/>
        <v>1.5543478260869565</v>
      </c>
      <c r="M10" s="2" t="s">
        <v>24</v>
      </c>
      <c r="N10" s="2" t="s">
        <v>64</v>
      </c>
      <c r="O10" s="2" t="s">
        <v>65</v>
      </c>
      <c r="P10" s="13" t="s">
        <v>201</v>
      </c>
    </row>
    <row r="11" spans="1:16" ht="29" x14ac:dyDescent="0.35">
      <c r="A11" s="4" t="s">
        <v>66</v>
      </c>
      <c r="B11" s="4" t="s">
        <v>17</v>
      </c>
      <c r="C11" s="4" t="s">
        <v>67</v>
      </c>
      <c r="D11" s="4" t="s">
        <v>68</v>
      </c>
      <c r="E11" s="4" t="s">
        <v>52</v>
      </c>
      <c r="F11" s="4" t="s">
        <v>69</v>
      </c>
      <c r="G11" s="4" t="s">
        <v>70</v>
      </c>
      <c r="H11" s="4" t="s">
        <v>23</v>
      </c>
      <c r="I11" s="4">
        <v>6800</v>
      </c>
      <c r="J11" s="4">
        <v>780</v>
      </c>
      <c r="K11" s="4">
        <v>98</v>
      </c>
      <c r="L11" s="5">
        <f t="shared" si="0"/>
        <v>1.4411764705882353</v>
      </c>
      <c r="M11" s="4" t="s">
        <v>24</v>
      </c>
      <c r="N11" s="4" t="s">
        <v>25</v>
      </c>
      <c r="O11" s="4" t="s">
        <v>59</v>
      </c>
      <c r="P11" s="12" t="s">
        <v>193</v>
      </c>
    </row>
    <row r="12" spans="1:16" x14ac:dyDescent="0.35">
      <c r="A12" s="2" t="s">
        <v>71</v>
      </c>
      <c r="B12" s="2" t="s">
        <v>17</v>
      </c>
      <c r="C12" s="2" t="s">
        <v>72</v>
      </c>
      <c r="D12" s="2" t="s">
        <v>68</v>
      </c>
      <c r="E12" s="2" t="s">
        <v>52</v>
      </c>
      <c r="F12" s="2" t="s">
        <v>73</v>
      </c>
      <c r="G12" s="2" t="s">
        <v>74</v>
      </c>
      <c r="H12" s="2" t="s">
        <v>23</v>
      </c>
      <c r="I12" s="2">
        <v>3200</v>
      </c>
      <c r="J12" s="2">
        <v>620</v>
      </c>
      <c r="K12" s="2">
        <v>140</v>
      </c>
      <c r="L12" s="3">
        <f t="shared" si="0"/>
        <v>4.375</v>
      </c>
      <c r="M12" s="2" t="s">
        <v>24</v>
      </c>
      <c r="N12" s="2" t="s">
        <v>25</v>
      </c>
      <c r="O12" s="2" t="s">
        <v>30</v>
      </c>
      <c r="P12" s="13" t="s">
        <v>190</v>
      </c>
    </row>
    <row r="13" spans="1:16" ht="29" x14ac:dyDescent="0.35">
      <c r="A13" s="4" t="s">
        <v>75</v>
      </c>
      <c r="B13" s="4" t="s">
        <v>33</v>
      </c>
      <c r="C13" s="4" t="s">
        <v>18</v>
      </c>
      <c r="D13" s="4" t="s">
        <v>68</v>
      </c>
      <c r="E13" s="4" t="s">
        <v>52</v>
      </c>
      <c r="F13" s="4" t="s">
        <v>76</v>
      </c>
      <c r="G13" s="4" t="s">
        <v>77</v>
      </c>
      <c r="H13" s="4" t="s">
        <v>23</v>
      </c>
      <c r="I13" s="4">
        <v>14300</v>
      </c>
      <c r="J13" s="4">
        <v>2800</v>
      </c>
      <c r="K13" s="4">
        <v>390</v>
      </c>
      <c r="L13" s="5">
        <f t="shared" si="0"/>
        <v>2.7272727272727271</v>
      </c>
      <c r="M13" s="4" t="s">
        <v>24</v>
      </c>
      <c r="N13" s="4" t="s">
        <v>25</v>
      </c>
      <c r="O13" s="4" t="s">
        <v>26</v>
      </c>
      <c r="P13" s="12" t="s">
        <v>200</v>
      </c>
    </row>
    <row r="14" spans="1:16" ht="29" x14ac:dyDescent="0.35">
      <c r="A14" s="2" t="s">
        <v>78</v>
      </c>
      <c r="B14" s="2" t="s">
        <v>17</v>
      </c>
      <c r="C14" s="2" t="s">
        <v>61</v>
      </c>
      <c r="D14" s="2" t="s">
        <v>79</v>
      </c>
      <c r="E14" s="2" t="s">
        <v>52</v>
      </c>
      <c r="F14" s="2" t="s">
        <v>80</v>
      </c>
      <c r="G14" s="2" t="s">
        <v>81</v>
      </c>
      <c r="H14" s="2" t="s">
        <v>23</v>
      </c>
      <c r="I14" s="2">
        <v>4100</v>
      </c>
      <c r="J14" s="2">
        <v>310</v>
      </c>
      <c r="K14" s="2">
        <v>28</v>
      </c>
      <c r="L14" s="3">
        <f t="shared" si="0"/>
        <v>0.68292682926829273</v>
      </c>
      <c r="M14" s="2" t="s">
        <v>24</v>
      </c>
      <c r="N14" s="2" t="s">
        <v>25</v>
      </c>
      <c r="O14" s="2" t="s">
        <v>82</v>
      </c>
      <c r="P14" s="13" t="s">
        <v>199</v>
      </c>
    </row>
    <row r="15" spans="1:16" ht="29" x14ac:dyDescent="0.35">
      <c r="A15" s="4" t="s">
        <v>83</v>
      </c>
      <c r="B15" s="4" t="s">
        <v>33</v>
      </c>
      <c r="C15" s="4" t="s">
        <v>18</v>
      </c>
      <c r="D15" s="4" t="s">
        <v>79</v>
      </c>
      <c r="E15" s="4" t="s">
        <v>52</v>
      </c>
      <c r="F15" s="4" t="s">
        <v>84</v>
      </c>
      <c r="G15" s="4" t="s">
        <v>85</v>
      </c>
      <c r="H15" s="4" t="s">
        <v>23</v>
      </c>
      <c r="I15" s="4">
        <v>5600</v>
      </c>
      <c r="J15" s="4">
        <v>490</v>
      </c>
      <c r="K15" s="4">
        <v>52</v>
      </c>
      <c r="L15" s="5">
        <f t="shared" si="0"/>
        <v>0.9285714285714286</v>
      </c>
      <c r="M15" s="4" t="s">
        <v>24</v>
      </c>
      <c r="N15" s="4" t="s">
        <v>64</v>
      </c>
      <c r="O15" s="4" t="s">
        <v>86</v>
      </c>
      <c r="P15" s="12" t="s">
        <v>195</v>
      </c>
    </row>
    <row r="16" spans="1:16" ht="29" x14ac:dyDescent="0.35">
      <c r="A16" s="2" t="s">
        <v>87</v>
      </c>
      <c r="B16" s="2" t="s">
        <v>17</v>
      </c>
      <c r="C16" s="2" t="s">
        <v>18</v>
      </c>
      <c r="D16" s="2" t="s">
        <v>88</v>
      </c>
      <c r="E16" s="2" t="s">
        <v>89</v>
      </c>
      <c r="F16" s="2" t="s">
        <v>90</v>
      </c>
      <c r="G16" s="2" t="s">
        <v>91</v>
      </c>
      <c r="H16" s="2" t="s">
        <v>23</v>
      </c>
      <c r="I16" s="2">
        <v>2800</v>
      </c>
      <c r="J16" s="2">
        <v>380</v>
      </c>
      <c r="K16" s="2">
        <v>44</v>
      </c>
      <c r="L16" s="3">
        <f t="shared" si="0"/>
        <v>1.5714285714285716</v>
      </c>
      <c r="M16" s="2" t="s">
        <v>24</v>
      </c>
      <c r="N16" s="2" t="s">
        <v>25</v>
      </c>
      <c r="O16" s="2" t="s">
        <v>59</v>
      </c>
      <c r="P16" s="13" t="s">
        <v>193</v>
      </c>
    </row>
    <row r="17" spans="1:16" ht="24" x14ac:dyDescent="0.35">
      <c r="A17" s="4" t="s">
        <v>92</v>
      </c>
      <c r="B17" s="4" t="s">
        <v>17</v>
      </c>
      <c r="C17" s="4" t="s">
        <v>50</v>
      </c>
      <c r="D17" s="4" t="s">
        <v>93</v>
      </c>
      <c r="E17" s="4" t="s">
        <v>94</v>
      </c>
      <c r="F17" s="4" t="s">
        <v>95</v>
      </c>
      <c r="G17" s="4" t="s">
        <v>96</v>
      </c>
      <c r="H17" s="4" t="s">
        <v>23</v>
      </c>
      <c r="I17" s="4">
        <v>3900</v>
      </c>
      <c r="J17" s="4">
        <v>480</v>
      </c>
      <c r="K17" s="4">
        <v>62</v>
      </c>
      <c r="L17" s="5">
        <f t="shared" si="0"/>
        <v>1.5897435897435899</v>
      </c>
      <c r="M17" s="4" t="s">
        <v>24</v>
      </c>
      <c r="N17" s="4" t="s">
        <v>25</v>
      </c>
      <c r="O17" s="4" t="s">
        <v>97</v>
      </c>
      <c r="P17" s="12" t="s">
        <v>197</v>
      </c>
    </row>
    <row r="18" spans="1:16" x14ac:dyDescent="0.35">
      <c r="A18" s="2" t="s">
        <v>98</v>
      </c>
      <c r="B18" s="2" t="s">
        <v>33</v>
      </c>
      <c r="C18" s="2" t="s">
        <v>67</v>
      </c>
      <c r="D18" s="2" t="s">
        <v>93</v>
      </c>
      <c r="E18" s="2" t="s">
        <v>94</v>
      </c>
      <c r="F18" s="2" t="s">
        <v>99</v>
      </c>
      <c r="G18" s="2" t="s">
        <v>100</v>
      </c>
      <c r="H18" s="2" t="s">
        <v>23</v>
      </c>
      <c r="I18" s="2">
        <v>5200</v>
      </c>
      <c r="J18" s="2">
        <v>710</v>
      </c>
      <c r="K18" s="2">
        <v>89</v>
      </c>
      <c r="L18" s="3">
        <f t="shared" si="0"/>
        <v>1.7115384615384617</v>
      </c>
      <c r="M18" s="2" t="s">
        <v>24</v>
      </c>
      <c r="N18" s="2" t="s">
        <v>64</v>
      </c>
      <c r="O18" s="2" t="s">
        <v>101</v>
      </c>
      <c r="P18" s="13" t="s">
        <v>190</v>
      </c>
    </row>
    <row r="19" spans="1:16" ht="24" x14ac:dyDescent="0.35">
      <c r="A19" s="4" t="s">
        <v>102</v>
      </c>
      <c r="B19" s="4" t="s">
        <v>17</v>
      </c>
      <c r="C19" s="4" t="s">
        <v>18</v>
      </c>
      <c r="D19" s="4" t="s">
        <v>103</v>
      </c>
      <c r="E19" s="4" t="s">
        <v>104</v>
      </c>
      <c r="F19" s="4" t="s">
        <v>105</v>
      </c>
      <c r="G19" s="4" t="s">
        <v>63</v>
      </c>
      <c r="H19" s="4" t="s">
        <v>23</v>
      </c>
      <c r="I19" s="4">
        <v>4200</v>
      </c>
      <c r="J19" s="4">
        <v>390</v>
      </c>
      <c r="K19" s="4">
        <v>31</v>
      </c>
      <c r="L19" s="5">
        <f t="shared" si="0"/>
        <v>0.73809523809523814</v>
      </c>
      <c r="M19" s="4" t="s">
        <v>24</v>
      </c>
      <c r="N19" s="4" t="s">
        <v>64</v>
      </c>
      <c r="O19" s="4" t="s">
        <v>106</v>
      </c>
      <c r="P19" s="12" t="s">
        <v>198</v>
      </c>
    </row>
    <row r="20" spans="1:16" ht="24" x14ac:dyDescent="0.35">
      <c r="A20" s="2" t="s">
        <v>107</v>
      </c>
      <c r="B20" s="2" t="s">
        <v>33</v>
      </c>
      <c r="C20" s="2" t="s">
        <v>18</v>
      </c>
      <c r="D20" s="2" t="s">
        <v>103</v>
      </c>
      <c r="E20" s="2" t="s">
        <v>104</v>
      </c>
      <c r="F20" s="2" t="s">
        <v>108</v>
      </c>
      <c r="G20" s="2" t="s">
        <v>35</v>
      </c>
      <c r="H20" s="2" t="s">
        <v>23</v>
      </c>
      <c r="I20" s="2">
        <v>3100</v>
      </c>
      <c r="J20" s="2">
        <v>280</v>
      </c>
      <c r="K20" s="2">
        <v>19</v>
      </c>
      <c r="L20" s="3">
        <f t="shared" si="0"/>
        <v>0.61290322580645162</v>
      </c>
      <c r="M20" s="2" t="s">
        <v>109</v>
      </c>
      <c r="N20" s="2" t="s">
        <v>64</v>
      </c>
      <c r="O20" s="2" t="s">
        <v>97</v>
      </c>
      <c r="P20" s="13" t="s">
        <v>197</v>
      </c>
    </row>
    <row r="21" spans="1:16" x14ac:dyDescent="0.35">
      <c r="A21" s="4" t="s">
        <v>110</v>
      </c>
      <c r="B21" s="4" t="s">
        <v>17</v>
      </c>
      <c r="C21" s="4" t="s">
        <v>56</v>
      </c>
      <c r="D21" s="4" t="s">
        <v>111</v>
      </c>
      <c r="E21" s="4" t="s">
        <v>112</v>
      </c>
      <c r="F21" s="4" t="s">
        <v>113</v>
      </c>
      <c r="G21" s="4" t="s">
        <v>114</v>
      </c>
      <c r="H21" s="4" t="s">
        <v>23</v>
      </c>
      <c r="I21" s="4">
        <v>8100</v>
      </c>
      <c r="J21" s="4">
        <v>920</v>
      </c>
      <c r="K21" s="4">
        <v>88</v>
      </c>
      <c r="L21" s="5">
        <f t="shared" si="0"/>
        <v>1.0864197530864197</v>
      </c>
      <c r="M21" s="4" t="s">
        <v>24</v>
      </c>
      <c r="N21" s="4" t="s">
        <v>25</v>
      </c>
      <c r="O21" s="4" t="s">
        <v>30</v>
      </c>
      <c r="P21" s="12" t="s">
        <v>190</v>
      </c>
    </row>
    <row r="22" spans="1:16" ht="29" x14ac:dyDescent="0.35">
      <c r="A22" s="2" t="s">
        <v>115</v>
      </c>
      <c r="B22" s="2" t="s">
        <v>17</v>
      </c>
      <c r="C22" s="2" t="s">
        <v>18</v>
      </c>
      <c r="D22" s="2" t="s">
        <v>116</v>
      </c>
      <c r="E22" s="2" t="s">
        <v>117</v>
      </c>
      <c r="F22" s="2" t="s">
        <v>118</v>
      </c>
      <c r="G22" s="2" t="s">
        <v>119</v>
      </c>
      <c r="H22" s="2" t="s">
        <v>23</v>
      </c>
      <c r="I22" s="2">
        <v>6200</v>
      </c>
      <c r="J22" s="2">
        <v>940</v>
      </c>
      <c r="K22" s="2">
        <v>130</v>
      </c>
      <c r="L22" s="3">
        <f t="shared" si="0"/>
        <v>2.0967741935483875</v>
      </c>
      <c r="M22" s="2" t="s">
        <v>24</v>
      </c>
      <c r="N22" s="2" t="s">
        <v>25</v>
      </c>
      <c r="O22" s="2" t="s">
        <v>120</v>
      </c>
      <c r="P22" s="13" t="s">
        <v>196</v>
      </c>
    </row>
    <row r="23" spans="1:16" ht="29" x14ac:dyDescent="0.35">
      <c r="A23" s="4" t="s">
        <v>121</v>
      </c>
      <c r="B23" s="4" t="s">
        <v>17</v>
      </c>
      <c r="C23" s="4" t="s">
        <v>18</v>
      </c>
      <c r="D23" s="4" t="s">
        <v>122</v>
      </c>
      <c r="E23" s="4" t="s">
        <v>123</v>
      </c>
      <c r="F23" s="4" t="s">
        <v>124</v>
      </c>
      <c r="G23" s="4" t="s">
        <v>125</v>
      </c>
      <c r="H23" s="4" t="s">
        <v>23</v>
      </c>
      <c r="I23" s="4">
        <v>37743</v>
      </c>
      <c r="J23" s="4">
        <v>6200</v>
      </c>
      <c r="K23" s="4">
        <v>890</v>
      </c>
      <c r="L23" s="5">
        <f t="shared" si="0"/>
        <v>2.3580531489282781</v>
      </c>
      <c r="M23" s="4" t="s">
        <v>24</v>
      </c>
      <c r="N23" s="4" t="s">
        <v>25</v>
      </c>
      <c r="O23" s="4" t="s">
        <v>126</v>
      </c>
      <c r="P23" s="12" t="s">
        <v>195</v>
      </c>
    </row>
    <row r="24" spans="1:16" ht="29" x14ac:dyDescent="0.35">
      <c r="A24" s="2" t="s">
        <v>127</v>
      </c>
      <c r="B24" s="2" t="s">
        <v>33</v>
      </c>
      <c r="C24" s="2" t="s">
        <v>18</v>
      </c>
      <c r="D24" s="2" t="s">
        <v>122</v>
      </c>
      <c r="E24" s="2" t="s">
        <v>123</v>
      </c>
      <c r="F24" s="2" t="s">
        <v>128</v>
      </c>
      <c r="G24" s="2" t="s">
        <v>129</v>
      </c>
      <c r="H24" s="2" t="s">
        <v>23</v>
      </c>
      <c r="I24" s="2">
        <v>19703</v>
      </c>
      <c r="J24" s="2">
        <v>3100</v>
      </c>
      <c r="K24" s="2">
        <v>410</v>
      </c>
      <c r="L24" s="3">
        <f t="shared" si="0"/>
        <v>2.0809013855758005</v>
      </c>
      <c r="M24" s="2" t="s">
        <v>24</v>
      </c>
      <c r="N24" s="2" t="s">
        <v>64</v>
      </c>
      <c r="O24" s="2" t="s">
        <v>126</v>
      </c>
      <c r="P24" s="13" t="s">
        <v>195</v>
      </c>
    </row>
    <row r="25" spans="1:16" ht="29" x14ac:dyDescent="0.35">
      <c r="A25" s="4" t="s">
        <v>130</v>
      </c>
      <c r="B25" s="4" t="s">
        <v>33</v>
      </c>
      <c r="C25" s="4" t="s">
        <v>18</v>
      </c>
      <c r="D25" s="4" t="s">
        <v>122</v>
      </c>
      <c r="E25" s="4" t="s">
        <v>123</v>
      </c>
      <c r="F25" s="4" t="s">
        <v>131</v>
      </c>
      <c r="G25" s="4" t="s">
        <v>132</v>
      </c>
      <c r="H25" s="4" t="s">
        <v>23</v>
      </c>
      <c r="I25" s="4">
        <v>8780</v>
      </c>
      <c r="J25" s="4">
        <v>1400</v>
      </c>
      <c r="K25" s="4">
        <v>188</v>
      </c>
      <c r="L25" s="5">
        <f t="shared" si="0"/>
        <v>2.1412300683371299</v>
      </c>
      <c r="M25" s="4" t="s">
        <v>24</v>
      </c>
      <c r="N25" s="4" t="s">
        <v>64</v>
      </c>
      <c r="O25" s="4" t="s">
        <v>126</v>
      </c>
      <c r="P25" s="12" t="s">
        <v>195</v>
      </c>
    </row>
    <row r="26" spans="1:16" ht="43.5" x14ac:dyDescent="0.35">
      <c r="A26" s="2" t="s">
        <v>133</v>
      </c>
      <c r="B26" s="2" t="s">
        <v>17</v>
      </c>
      <c r="C26" s="2" t="s">
        <v>50</v>
      </c>
      <c r="D26" s="2" t="s">
        <v>19</v>
      </c>
      <c r="E26" s="2" t="s">
        <v>20</v>
      </c>
      <c r="F26" s="2" t="s">
        <v>134</v>
      </c>
      <c r="G26" s="2" t="s">
        <v>135</v>
      </c>
      <c r="H26" s="2" t="s">
        <v>23</v>
      </c>
      <c r="I26" s="2">
        <v>8900</v>
      </c>
      <c r="J26" s="2">
        <v>1800</v>
      </c>
      <c r="K26" s="2">
        <v>320</v>
      </c>
      <c r="L26" s="3">
        <f t="shared" si="0"/>
        <v>3.5955056179775284</v>
      </c>
      <c r="M26" s="2" t="s">
        <v>24</v>
      </c>
      <c r="N26" s="2" t="s">
        <v>25</v>
      </c>
      <c r="O26" s="2" t="s">
        <v>136</v>
      </c>
      <c r="P26" s="13" t="s">
        <v>194</v>
      </c>
    </row>
    <row r="27" spans="1:16" ht="29" x14ac:dyDescent="0.35">
      <c r="A27" s="4" t="s">
        <v>137</v>
      </c>
      <c r="B27" s="4" t="s">
        <v>17</v>
      </c>
      <c r="C27" s="4" t="s">
        <v>138</v>
      </c>
      <c r="D27" s="4" t="s">
        <v>51</v>
      </c>
      <c r="E27" s="4" t="s">
        <v>52</v>
      </c>
      <c r="F27" s="4" t="s">
        <v>139</v>
      </c>
      <c r="G27" s="4" t="s">
        <v>140</v>
      </c>
      <c r="H27" s="4" t="s">
        <v>23</v>
      </c>
      <c r="I27" s="4">
        <v>2400</v>
      </c>
      <c r="J27" s="4">
        <v>580</v>
      </c>
      <c r="K27" s="4">
        <v>132</v>
      </c>
      <c r="L27" s="5">
        <f t="shared" si="0"/>
        <v>5.5</v>
      </c>
      <c r="M27" s="4" t="s">
        <v>24</v>
      </c>
      <c r="N27" s="4" t="s">
        <v>25</v>
      </c>
      <c r="O27" s="4" t="s">
        <v>59</v>
      </c>
      <c r="P27" s="12" t="s">
        <v>193</v>
      </c>
    </row>
    <row r="28" spans="1:16" ht="29" x14ac:dyDescent="0.35">
      <c r="A28" s="2" t="s">
        <v>141</v>
      </c>
      <c r="B28" s="2" t="s">
        <v>33</v>
      </c>
      <c r="C28" s="2" t="s">
        <v>142</v>
      </c>
      <c r="D28" s="2" t="s">
        <v>122</v>
      </c>
      <c r="E28" s="2" t="s">
        <v>123</v>
      </c>
      <c r="F28" s="2" t="s">
        <v>143</v>
      </c>
      <c r="G28" s="2" t="s">
        <v>144</v>
      </c>
      <c r="H28" s="2" t="s">
        <v>23</v>
      </c>
      <c r="I28" s="2">
        <v>3800</v>
      </c>
      <c r="J28" s="2">
        <v>920</v>
      </c>
      <c r="K28" s="2">
        <v>210</v>
      </c>
      <c r="L28" s="3">
        <f t="shared" si="0"/>
        <v>5.5263157894736841</v>
      </c>
      <c r="M28" s="2" t="s">
        <v>24</v>
      </c>
      <c r="N28" s="2" t="s">
        <v>25</v>
      </c>
      <c r="O28" s="2" t="s">
        <v>145</v>
      </c>
      <c r="P28" s="13" t="s">
        <v>192</v>
      </c>
    </row>
    <row r="29" spans="1:16" ht="29" x14ac:dyDescent="0.35">
      <c r="A29" s="4" t="s">
        <v>146</v>
      </c>
      <c r="B29" s="4" t="s">
        <v>17</v>
      </c>
      <c r="C29" s="4" t="s">
        <v>147</v>
      </c>
      <c r="D29" s="4" t="s">
        <v>68</v>
      </c>
      <c r="E29" s="4" t="s">
        <v>52</v>
      </c>
      <c r="F29" s="4" t="s">
        <v>148</v>
      </c>
      <c r="G29" s="4" t="s">
        <v>149</v>
      </c>
      <c r="H29" s="4" t="s">
        <v>23</v>
      </c>
      <c r="I29" s="4">
        <v>4100</v>
      </c>
      <c r="J29" s="4">
        <v>620</v>
      </c>
      <c r="K29" s="4">
        <v>78</v>
      </c>
      <c r="L29" s="5">
        <f t="shared" si="0"/>
        <v>1.9024390243902438</v>
      </c>
      <c r="M29" s="4" t="s">
        <v>24</v>
      </c>
      <c r="N29" s="4" t="s">
        <v>25</v>
      </c>
      <c r="O29" s="4" t="s">
        <v>59</v>
      </c>
      <c r="P29" s="12" t="s">
        <v>193</v>
      </c>
    </row>
    <row r="30" spans="1:16" ht="29" x14ac:dyDescent="0.35">
      <c r="A30" s="2" t="s">
        <v>150</v>
      </c>
      <c r="B30" s="2" t="s">
        <v>33</v>
      </c>
      <c r="C30" s="2" t="s">
        <v>61</v>
      </c>
      <c r="D30" s="2" t="s">
        <v>38</v>
      </c>
      <c r="E30" s="2" t="s">
        <v>20</v>
      </c>
      <c r="F30" s="2" t="s">
        <v>151</v>
      </c>
      <c r="G30" s="2" t="s">
        <v>63</v>
      </c>
      <c r="H30" s="2" t="s">
        <v>23</v>
      </c>
      <c r="I30" s="2">
        <v>6300</v>
      </c>
      <c r="J30" s="2">
        <v>980</v>
      </c>
      <c r="K30" s="2">
        <v>112</v>
      </c>
      <c r="L30" s="3">
        <f t="shared" si="0"/>
        <v>1.7777777777777777</v>
      </c>
      <c r="M30" s="2" t="s">
        <v>24</v>
      </c>
      <c r="N30" s="2" t="s">
        <v>64</v>
      </c>
      <c r="O30" s="2" t="s">
        <v>152</v>
      </c>
      <c r="P30" s="13" t="s">
        <v>192</v>
      </c>
    </row>
    <row r="31" spans="1:16" ht="29" x14ac:dyDescent="0.35">
      <c r="A31" s="4" t="s">
        <v>153</v>
      </c>
      <c r="B31" s="4" t="s">
        <v>17</v>
      </c>
      <c r="C31" s="4" t="s">
        <v>154</v>
      </c>
      <c r="D31" s="4" t="s">
        <v>19</v>
      </c>
      <c r="E31" s="4" t="s">
        <v>20</v>
      </c>
      <c r="F31" s="4" t="s">
        <v>155</v>
      </c>
      <c r="G31" s="4" t="s">
        <v>156</v>
      </c>
      <c r="H31" s="4" t="s">
        <v>23</v>
      </c>
      <c r="I31" s="4">
        <v>5100</v>
      </c>
      <c r="J31" s="4">
        <v>610</v>
      </c>
      <c r="K31" s="4">
        <v>52</v>
      </c>
      <c r="L31" s="5">
        <f t="shared" si="0"/>
        <v>1.0196078431372551</v>
      </c>
      <c r="M31" s="4" t="s">
        <v>24</v>
      </c>
      <c r="N31" s="4" t="s">
        <v>25</v>
      </c>
      <c r="O31" s="4" t="s">
        <v>157</v>
      </c>
      <c r="P31" s="12" t="s">
        <v>191</v>
      </c>
    </row>
    <row r="32" spans="1:16" ht="24" x14ac:dyDescent="0.35">
      <c r="A32" s="2" t="s">
        <v>183</v>
      </c>
      <c r="B32">
        <v>2025</v>
      </c>
      <c r="C32" s="2" t="s">
        <v>18</v>
      </c>
      <c r="D32" s="2" t="s">
        <v>184</v>
      </c>
      <c r="E32" s="2" t="s">
        <v>52</v>
      </c>
      <c r="F32" s="2" t="s">
        <v>151</v>
      </c>
      <c r="G32" t="s">
        <v>63</v>
      </c>
      <c r="H32" s="2" t="s">
        <v>23</v>
      </c>
      <c r="I32" s="2">
        <v>4200</v>
      </c>
      <c r="J32" s="2">
        <v>520</v>
      </c>
      <c r="K32" s="2">
        <v>48</v>
      </c>
      <c r="L32" s="3">
        <f t="shared" si="0"/>
        <v>1.1428571428571428</v>
      </c>
      <c r="M32" s="2" t="s">
        <v>24</v>
      </c>
      <c r="N32" s="2" t="s">
        <v>25</v>
      </c>
      <c r="O32" s="2" t="s">
        <v>185</v>
      </c>
      <c r="P32" s="11" t="s">
        <v>31</v>
      </c>
    </row>
    <row r="33" spans="1:16" x14ac:dyDescent="0.35">
      <c r="A33" s="4" t="s">
        <v>186</v>
      </c>
      <c r="B33">
        <v>2025</v>
      </c>
      <c r="C33" s="4" t="s">
        <v>18</v>
      </c>
      <c r="D33" s="4" t="s">
        <v>187</v>
      </c>
      <c r="E33" s="4" t="s">
        <v>188</v>
      </c>
      <c r="F33" s="4" t="s">
        <v>99</v>
      </c>
      <c r="G33" t="s">
        <v>189</v>
      </c>
      <c r="H33" s="4" t="s">
        <v>23</v>
      </c>
      <c r="I33" s="4">
        <v>3100</v>
      </c>
      <c r="J33" s="4">
        <v>310</v>
      </c>
      <c r="K33" s="4">
        <v>22</v>
      </c>
      <c r="L33" s="5">
        <f t="shared" si="0"/>
        <v>0.70967741935483875</v>
      </c>
      <c r="M33" s="4" t="s">
        <v>24</v>
      </c>
      <c r="N33" s="4" t="s">
        <v>25</v>
      </c>
      <c r="O33" s="4" t="s">
        <v>180</v>
      </c>
      <c r="P33" s="11" t="s">
        <v>190</v>
      </c>
    </row>
    <row r="34" spans="1:16" x14ac:dyDescent="0.35">
      <c r="A34" s="2"/>
      <c r="C34" s="4"/>
      <c r="D34" s="4"/>
      <c r="E34" s="4"/>
      <c r="F34" s="4"/>
      <c r="H34" s="4"/>
      <c r="I34" s="4"/>
      <c r="J34" s="4"/>
      <c r="K34" s="2"/>
      <c r="L34" s="3"/>
      <c r="M34" s="4"/>
      <c r="N34" s="4"/>
      <c r="O34" s="4"/>
      <c r="P34" s="11"/>
    </row>
  </sheetData>
  <hyperlinks>
    <hyperlink ref="P32" r:id="rId1" xr:uid="{3AF25670-4CEB-49CD-BA5E-CBCD0BD00BCF}"/>
    <hyperlink ref="P31" r:id="rId2" xr:uid="{14D62B01-4985-4489-8899-D29F9A707642}"/>
    <hyperlink ref="P30" r:id="rId3" xr:uid="{DC43A5A4-146A-42EC-A693-84AA400DAAC6}"/>
    <hyperlink ref="P29" r:id="rId4" xr:uid="{CC876FA8-6EC8-40FD-963F-DC6E91ACAFC2}"/>
    <hyperlink ref="P28" r:id="rId5" xr:uid="{BCF76780-E613-4D0C-BD0F-47DD47926653}"/>
    <hyperlink ref="P27" r:id="rId6" xr:uid="{98299004-A85A-4474-9D8A-6A5BB1C6C5E9}"/>
    <hyperlink ref="P26" r:id="rId7" xr:uid="{7735B20B-6B79-4E7D-9F34-E576C5364857}"/>
    <hyperlink ref="P25" r:id="rId8" xr:uid="{09E3E98A-26EF-4D8D-9A8D-84F93EC38590}"/>
    <hyperlink ref="P24" r:id="rId9" xr:uid="{45FE6F93-EB62-4CBF-AD6A-863CD784F354}"/>
    <hyperlink ref="P23" r:id="rId10" xr:uid="{F5C1471E-CE84-4C71-93E9-1528B97D5CA9}"/>
    <hyperlink ref="P22" r:id="rId11" xr:uid="{C18DA440-EE35-4776-B250-22EDD55687E7}"/>
    <hyperlink ref="P21" r:id="rId12" xr:uid="{225FBB8E-4262-46B7-ABAE-90D7900A026B}"/>
    <hyperlink ref="P20" r:id="rId13" xr:uid="{2AA3A727-7D2D-492F-B9AA-066EE1BB613D}"/>
    <hyperlink ref="P19" r:id="rId14" xr:uid="{7D6FDBD5-8362-4D43-970F-CB0C87A84CE8}"/>
    <hyperlink ref="P18" r:id="rId15" xr:uid="{80DD1F25-1560-4401-8116-F4BEFBF7BD35}"/>
    <hyperlink ref="P17" r:id="rId16" xr:uid="{E45218EC-887E-46B3-8FFC-4CED6E0662FF}"/>
    <hyperlink ref="P16" r:id="rId17" xr:uid="{FED8C43D-52E8-402F-9388-3915D0B8443A}"/>
    <hyperlink ref="P15" r:id="rId18" xr:uid="{C26B7A0A-7410-4A84-8DC3-AA7CBB74A0C3}"/>
    <hyperlink ref="P14" r:id="rId19" xr:uid="{B1E527EB-88B6-4280-822C-B8AD36BA293F}"/>
    <hyperlink ref="P13" r:id="rId20" xr:uid="{A98109EC-FDAC-4FEB-81F0-30463F9E26A4}"/>
    <hyperlink ref="P12" r:id="rId21" xr:uid="{7F427CB6-9A6B-4DC3-84BB-093EE59DD791}"/>
    <hyperlink ref="P11" r:id="rId22" xr:uid="{EDCFD420-60D8-4D4A-9C2B-7E119993912D}"/>
    <hyperlink ref="P10" r:id="rId23" xr:uid="{B363CECC-A49A-48D9-9EF8-8778FD52503B}"/>
    <hyperlink ref="P9" r:id="rId24" xr:uid="{0AEED889-DA96-429E-8ADB-578778A40CD5}"/>
    <hyperlink ref="P8" r:id="rId25" xr:uid="{A6855E54-0B50-4933-BD22-1C4A24D76270}"/>
    <hyperlink ref="P7" r:id="rId26" xr:uid="{E08A5264-E973-40CE-86DC-10178D48A6FE}"/>
    <hyperlink ref="P6" r:id="rId27" xr:uid="{3C981E66-AAE8-4475-B755-4E51D1350B89}"/>
    <hyperlink ref="P5" r:id="rId28" xr:uid="{9E62481F-4B60-487A-9A63-F910F33C5533}"/>
    <hyperlink ref="P4" r:id="rId29" xr:uid="{1A911014-5FE3-430E-A5E0-2459E7453C10}"/>
    <hyperlink ref="P3" r:id="rId30" xr:uid="{148705B5-CAD8-4A85-9E1A-F05EAC793000}"/>
    <hyperlink ref="P2" r:id="rId31" xr:uid="{1E6481F5-5541-4A0D-BC19-F9C89A50591D}"/>
    <hyperlink ref="P33" r:id="rId32" xr:uid="{B47D01DE-7B71-41BC-965C-8257659FE0E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6" customWidth="1"/>
    <col min="3" max="3" width="20" customWidth="1"/>
    <col min="4" max="4" width="16" customWidth="1"/>
    <col min="5" max="5" width="20" customWidth="1"/>
    <col min="6" max="6" width="32" customWidth="1"/>
    <col min="7" max="7" width="30" customWidth="1"/>
  </cols>
  <sheetData>
    <row r="1" spans="1:7" ht="26.5" x14ac:dyDescent="0.35">
      <c r="A1" s="6" t="s">
        <v>3</v>
      </c>
      <c r="B1" s="6" t="s">
        <v>4</v>
      </c>
      <c r="C1" s="6" t="s">
        <v>158</v>
      </c>
      <c r="D1" s="6" t="s">
        <v>159</v>
      </c>
      <c r="E1" s="6" t="s">
        <v>160</v>
      </c>
      <c r="F1" s="6" t="s">
        <v>161</v>
      </c>
      <c r="G1" s="6" t="s">
        <v>162</v>
      </c>
    </row>
    <row r="2" spans="1:7" x14ac:dyDescent="0.35">
      <c r="A2" s="7" t="s">
        <v>19</v>
      </c>
      <c r="B2" s="7" t="s">
        <v>20</v>
      </c>
      <c r="C2" s="7">
        <f>SUMIF(Platform_Case_Data!D:D,A2,Platform_Case_Data!I:I)</f>
        <v>88797</v>
      </c>
      <c r="D2" s="7">
        <f>SUMIF(Platform_Case_Data!D:D,A2,Platform_Case_Data!K:K)</f>
        <v>3122</v>
      </c>
      <c r="E2" s="7">
        <f>AVERAGEIF(Platform_Case_Data!D:D,A2,Platform_Case_Data!L:L)</f>
        <v>2.9514349343341042</v>
      </c>
      <c r="F2" s="7" t="s">
        <v>163</v>
      </c>
      <c r="G2" s="7" t="s">
        <v>26</v>
      </c>
    </row>
    <row r="3" spans="1:7" x14ac:dyDescent="0.35">
      <c r="A3" s="8" t="s">
        <v>38</v>
      </c>
      <c r="B3" s="8" t="s">
        <v>20</v>
      </c>
      <c r="C3" s="8">
        <f>SUMIF(Platform_Case_Data!D:D,A3,Platform_Case_Data!I:I)</f>
        <v>48311</v>
      </c>
      <c r="D3" s="8">
        <f>SUMIF(Platform_Case_Data!D:D,A3,Platform_Case_Data!K:K)</f>
        <v>1000</v>
      </c>
      <c r="E3" s="8">
        <f>AVERAGEIF(Platform_Case_Data!D:D,A3,Platform_Case_Data!L:L)</f>
        <v>1.9488483878286205</v>
      </c>
      <c r="F3" s="8" t="s">
        <v>164</v>
      </c>
      <c r="G3" s="8" t="s">
        <v>26</v>
      </c>
    </row>
    <row r="4" spans="1:7" x14ac:dyDescent="0.35">
      <c r="A4" s="7" t="s">
        <v>51</v>
      </c>
      <c r="B4" s="7" t="s">
        <v>52</v>
      </c>
      <c r="C4" s="7">
        <f>SUMIF(Platform_Case_Data!D:D,A4,Platform_Case_Data!I:I)</f>
        <v>38800</v>
      </c>
      <c r="D4" s="7">
        <f>SUMIF(Platform_Case_Data!D:D,A4,Platform_Case_Data!K:K)</f>
        <v>867</v>
      </c>
      <c r="E4" s="7">
        <f>AVERAGEIF(Platform_Case_Data!D:D,A4,Platform_Case_Data!L:L)</f>
        <v>2.7480259409607237</v>
      </c>
      <c r="F4" s="7" t="s">
        <v>165</v>
      </c>
      <c r="G4" s="7" t="s">
        <v>26</v>
      </c>
    </row>
    <row r="5" spans="1:7" x14ac:dyDescent="0.35">
      <c r="A5" s="8" t="s">
        <v>68</v>
      </c>
      <c r="B5" s="8" t="s">
        <v>52</v>
      </c>
      <c r="C5" s="8">
        <f>SUMIF(Platform_Case_Data!D:D,A5,Platform_Case_Data!I:I)</f>
        <v>28400</v>
      </c>
      <c r="D5" s="8">
        <f>SUMIF(Platform_Case_Data!D:D,A5,Platform_Case_Data!K:K)</f>
        <v>706</v>
      </c>
      <c r="E5" s="8">
        <f>AVERAGEIF(Platform_Case_Data!D:D,A5,Platform_Case_Data!L:L)</f>
        <v>2.6114720555628015</v>
      </c>
      <c r="F5" s="8" t="s">
        <v>166</v>
      </c>
      <c r="G5" s="8" t="s">
        <v>167</v>
      </c>
    </row>
    <row r="6" spans="1:7" x14ac:dyDescent="0.35">
      <c r="A6" s="7" t="s">
        <v>79</v>
      </c>
      <c r="B6" s="7" t="s">
        <v>52</v>
      </c>
      <c r="C6" s="7">
        <f>SUMIF(Platform_Case_Data!D:D,A6,Platform_Case_Data!I:I)</f>
        <v>9700</v>
      </c>
      <c r="D6" s="7">
        <f>SUMIF(Platform_Case_Data!D:D,A6,Platform_Case_Data!K:K)</f>
        <v>80</v>
      </c>
      <c r="E6" s="7">
        <f>AVERAGEIF(Platform_Case_Data!D:D,A6,Platform_Case_Data!L:L)</f>
        <v>0.80574912891986061</v>
      </c>
      <c r="F6" s="7" t="s">
        <v>168</v>
      </c>
      <c r="G6" s="7" t="s">
        <v>82</v>
      </c>
    </row>
    <row r="7" spans="1:7" x14ac:dyDescent="0.35">
      <c r="A7" s="8" t="s">
        <v>93</v>
      </c>
      <c r="B7" s="8" t="s">
        <v>94</v>
      </c>
      <c r="C7" s="8">
        <f>SUMIF(Platform_Case_Data!D:D,A7,Platform_Case_Data!I:I)</f>
        <v>9100</v>
      </c>
      <c r="D7" s="8">
        <f>SUMIF(Platform_Case_Data!D:D,A7,Platform_Case_Data!K:K)</f>
        <v>151</v>
      </c>
      <c r="E7" s="8">
        <f>AVERAGEIF(Platform_Case_Data!D:D,A7,Platform_Case_Data!L:L)</f>
        <v>1.6506410256410258</v>
      </c>
      <c r="F7" s="8" t="s">
        <v>169</v>
      </c>
      <c r="G7" s="8" t="s">
        <v>97</v>
      </c>
    </row>
    <row r="8" spans="1:7" x14ac:dyDescent="0.35">
      <c r="A8" s="7" t="s">
        <v>103</v>
      </c>
      <c r="B8" s="7" t="s">
        <v>104</v>
      </c>
      <c r="C8" s="7">
        <f>SUMIF(Platform_Case_Data!D:D,A8,Platform_Case_Data!I:I)</f>
        <v>7300</v>
      </c>
      <c r="D8" s="7">
        <f>SUMIF(Platform_Case_Data!D:D,A8,Platform_Case_Data!K:K)</f>
        <v>50</v>
      </c>
      <c r="E8" s="7">
        <f>AVERAGEIF(Platform_Case_Data!D:D,A8,Platform_Case_Data!L:L)</f>
        <v>0.67549923195084483</v>
      </c>
      <c r="F8" s="7" t="s">
        <v>170</v>
      </c>
      <c r="G8" s="7" t="s">
        <v>171</v>
      </c>
    </row>
    <row r="9" spans="1:7" x14ac:dyDescent="0.35">
      <c r="A9" s="8" t="s">
        <v>122</v>
      </c>
      <c r="B9" s="8" t="s">
        <v>123</v>
      </c>
      <c r="C9" s="8">
        <f>SUMIF(Platform_Case_Data!E:E,B9,Platform_Case_Data!I:I)</f>
        <v>70026</v>
      </c>
      <c r="D9" s="8">
        <f>SUMIF(Platform_Case_Data!E:E,B9,Platform_Case_Data!K:K)</f>
        <v>1698</v>
      </c>
      <c r="E9" s="8">
        <f>AVERAGEIF(Platform_Case_Data!E:E,B9,Platform_Case_Data!L:L)</f>
        <v>3.026625098078723</v>
      </c>
      <c r="F9" s="8" t="s">
        <v>172</v>
      </c>
      <c r="G9" s="8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22" customWidth="1"/>
    <col min="3" max="3" width="18" customWidth="1"/>
    <col min="4" max="5" width="20" customWidth="1"/>
    <col min="6" max="6" width="12" customWidth="1"/>
    <col min="7" max="7" width="16" customWidth="1"/>
    <col min="8" max="8" width="30" customWidth="1"/>
  </cols>
  <sheetData>
    <row r="1" spans="1:8" ht="26.5" x14ac:dyDescent="0.35">
      <c r="A1" s="9" t="s">
        <v>1</v>
      </c>
      <c r="B1" s="9" t="s">
        <v>173</v>
      </c>
      <c r="C1" s="9" t="s">
        <v>174</v>
      </c>
      <c r="D1" s="9" t="s">
        <v>175</v>
      </c>
      <c r="E1" s="9" t="s">
        <v>176</v>
      </c>
      <c r="F1" s="9" t="s">
        <v>177</v>
      </c>
      <c r="G1" s="9" t="s">
        <v>178</v>
      </c>
      <c r="H1" s="9" t="s">
        <v>162</v>
      </c>
    </row>
    <row r="2" spans="1:8" x14ac:dyDescent="0.35">
      <c r="A2" s="10">
        <v>2020</v>
      </c>
      <c r="B2" s="10">
        <v>22188</v>
      </c>
      <c r="C2" s="10"/>
      <c r="D2" s="10"/>
      <c r="E2" s="10"/>
      <c r="F2" s="10"/>
      <c r="G2" s="10"/>
      <c r="H2" s="10" t="s">
        <v>179</v>
      </c>
    </row>
    <row r="3" spans="1:8" x14ac:dyDescent="0.35">
      <c r="A3" s="8">
        <v>2021</v>
      </c>
      <c r="B3" s="8">
        <v>27898</v>
      </c>
      <c r="C3" s="8"/>
      <c r="D3" s="8"/>
      <c r="E3" s="8"/>
      <c r="F3" s="8"/>
      <c r="G3" s="8">
        <f>(B3-B2)/B2*100</f>
        <v>25.734631332251666</v>
      </c>
      <c r="H3" s="8" t="s">
        <v>180</v>
      </c>
    </row>
    <row r="4" spans="1:8" x14ac:dyDescent="0.35">
      <c r="A4" s="10">
        <v>2022</v>
      </c>
      <c r="B4" s="10">
        <v>33560</v>
      </c>
      <c r="C4" s="10"/>
      <c r="D4" s="10"/>
      <c r="E4" s="10"/>
      <c r="F4" s="10"/>
      <c r="G4" s="10">
        <f>(B4-B3)/B3*100</f>
        <v>20.295361674672019</v>
      </c>
      <c r="H4" s="10" t="s">
        <v>180</v>
      </c>
    </row>
    <row r="5" spans="1:8" x14ac:dyDescent="0.35">
      <c r="A5" s="8">
        <v>2023</v>
      </c>
      <c r="B5" s="8">
        <v>40060</v>
      </c>
      <c r="C5" s="8"/>
      <c r="D5" s="8"/>
      <c r="E5" s="8"/>
      <c r="F5" s="8"/>
      <c r="G5" s="8">
        <f>(B5-B4)/B4*100</f>
        <v>19.36829558998808</v>
      </c>
      <c r="H5" s="8" t="s">
        <v>180</v>
      </c>
    </row>
    <row r="6" spans="1:8" x14ac:dyDescent="0.35">
      <c r="A6" s="10">
        <v>2024</v>
      </c>
      <c r="B6" s="10">
        <v>48335</v>
      </c>
      <c r="C6" s="10"/>
      <c r="D6" s="10"/>
      <c r="E6" s="10"/>
      <c r="F6" s="10"/>
      <c r="G6" s="10">
        <f>(B6-B5)/B5*100</f>
        <v>20.656515227159261</v>
      </c>
      <c r="H6" s="10" t="s">
        <v>181</v>
      </c>
    </row>
    <row r="7" spans="1:8" x14ac:dyDescent="0.35">
      <c r="A7" s="8">
        <v>2025</v>
      </c>
      <c r="B7" s="8">
        <v>76657</v>
      </c>
      <c r="C7" s="8">
        <v>37743</v>
      </c>
      <c r="D7" s="8">
        <v>19703</v>
      </c>
      <c r="E7" s="8">
        <v>8780</v>
      </c>
      <c r="F7" s="8">
        <v>10431</v>
      </c>
      <c r="G7" s="8">
        <f>(B7-B6)/B6*100</f>
        <v>58.595220854453288</v>
      </c>
      <c r="H7" s="8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Platform_Case_Data</vt:lpstr>
      <vt:lpstr>Summary_by_Platform</vt:lpstr>
      <vt:lpstr>NCRP_Yearly_Trend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yadneeka jadha</cp:lastModifiedBy>
  <dcterms:created xsi:type="dcterms:W3CDTF">2026-03-28T16:09:39Z</dcterms:created>
  <dcterms:modified xsi:type="dcterms:W3CDTF">2026-05-14T14:50:50Z</dcterms:modified>
</cp:coreProperties>
</file>